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cantidad</v>
      </c>
      <c r="B1" t="str">
        <v>Producto</v>
      </c>
      <c r="C1" t="str">
        <v>precio de venta redondeado</v>
      </c>
      <c r="D1" t="str">
        <v>venta x unidad</v>
      </c>
      <c r="E1" t="str">
        <v>costo x unidad MX</v>
      </c>
      <c r="F1" t="str">
        <v>costo x cant MX</v>
      </c>
      <c r="G1" t="str">
        <v>costo x unidad MN</v>
      </c>
      <c r="H1" t="str">
        <v>costo x cantidad MN</v>
      </c>
      <c r="I1" t="str">
        <v>costo x unidad USD</v>
      </c>
      <c r="J1" t="str">
        <v>costo total MN</v>
      </c>
      <c r="K1" t="str">
        <v>costo total USD</v>
      </c>
      <c r="L1" t="str">
        <v>venta total</v>
      </c>
      <c r="M1" t="str">
        <v>venta total redondeada</v>
      </c>
      <c r="N1" t="str">
        <v>MB%</v>
      </c>
    </row>
    <row r="2">
      <c r="A2">
        <v>60</v>
      </c>
      <c r="B2" t="str">
        <v xml:space="preserve">Peluche Stitch </v>
      </c>
      <c r="C2">
        <v>7000</v>
      </c>
      <c r="D2">
        <f>G2*3.5</f>
      </c>
      <c r="E2">
        <v>60</v>
      </c>
      <c r="F2">
        <f>E2*A2</f>
      </c>
      <c r="G2">
        <f>E2/17.3*550</f>
      </c>
      <c r="H2">
        <f>G2*A2</f>
      </c>
      <c r="I2">
        <f>E2/17.3</f>
      </c>
      <c r="J2">
        <f>A2*G2</f>
      </c>
      <c r="K2">
        <f>A2*E2/17.3</f>
      </c>
      <c r="L2">
        <f>(G2*A2)*3.5</f>
      </c>
      <c r="M2">
        <f>A2*C2</f>
      </c>
      <c r="N2">
        <f>IFERROR((L2-J2)/L2, 0)</f>
      </c>
    </row>
    <row r="3">
      <c r="A3">
        <v>5</v>
      </c>
      <c r="B3" t="str">
        <v>Yoel</v>
      </c>
      <c r="C3">
        <v>2500</v>
      </c>
      <c r="D3">
        <f>G3*3.5</f>
      </c>
      <c r="E3">
        <v>20</v>
      </c>
      <c r="F3">
        <f>E3*A3</f>
      </c>
      <c r="G3">
        <f>E3/17.3*550</f>
      </c>
      <c r="H3">
        <f>G3*A3</f>
      </c>
      <c r="I3">
        <f>E3/17.3</f>
      </c>
      <c r="J3">
        <f>A3*G3</f>
      </c>
      <c r="K3">
        <f>A3*E3/17.3</f>
      </c>
      <c r="L3">
        <f>(G3*A3)*3.5</f>
      </c>
      <c r="M3">
        <f>A3*C3</f>
      </c>
      <c r="N3">
        <f>IFERROR((L3-J3)/L3, 0)</f>
      </c>
    </row>
    <row r="4">
      <c r="A4">
        <v>10</v>
      </c>
      <c r="B4" t="str">
        <v xml:space="preserve">Peluche </v>
      </c>
      <c r="C4">
        <v>3500</v>
      </c>
      <c r="D4">
        <f>G4*3.5</f>
      </c>
      <c r="E4">
        <v>120</v>
      </c>
      <c r="F4">
        <f>E4*A4</f>
      </c>
      <c r="G4">
        <f>E4/17.3*550</f>
      </c>
      <c r="H4">
        <f>G4*A4</f>
      </c>
      <c r="I4">
        <f>E4/17.3</f>
      </c>
      <c r="J4">
        <f>A4*G4</f>
      </c>
      <c r="K4">
        <f>A4*E4/17.3</f>
      </c>
      <c r="L4">
        <f>(G4*A4)*3.5</f>
      </c>
      <c r="M4">
        <f>A4*C4</f>
      </c>
      <c r="N4">
        <f>IFERROR((L4-J4)/L4, 0)</f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